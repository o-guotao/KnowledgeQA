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迭代汇总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+0.0%;-0.0%;0.0%"/>
    <numFmt numFmtId="167" formatCode="+0.000;-0.000;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3" borderId="0" pivotButton="0" quotePrefix="0" xfId="0"/>
    <xf numFmtId="167" fontId="2" fillId="3" borderId="0" pivotButton="0" quotePrefix="0" xfId="0"/>
    <xf numFmtId="165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8" customWidth="1" min="17" max="17"/>
    <col width="9" customWidth="1" min="18" max="18"/>
  </cols>
  <sheetData>
    <row r="1">
      <c r="A1" s="1" t="inlineStr">
        <is>
          <t>实验</t>
        </is>
      </c>
      <c r="B1" s="1" t="inlineStr">
        <is>
          <t>变量变更</t>
        </is>
      </c>
      <c r="C1" s="1" t="inlineStr">
        <is>
          <t>召回率</t>
        </is>
      </c>
      <c r="D1" s="1" t="inlineStr">
        <is>
          <t>精准率</t>
        </is>
      </c>
      <c r="E1" s="1" t="inlineStr">
        <is>
          <t>MRR</t>
        </is>
      </c>
      <c r="F1" s="1" t="inlineStr">
        <is>
          <t>忠实度</t>
        </is>
      </c>
      <c r="G1" s="1" t="inlineStr">
        <is>
          <t>答案相关性</t>
        </is>
      </c>
      <c r="H1" s="1" t="inlineStr">
        <is>
          <t>上下文相关性</t>
        </is>
      </c>
      <c r="I1" s="1" t="inlineStr">
        <is>
          <t>上下文召回</t>
        </is>
      </c>
      <c r="J1" s="1" t="inlineStr">
        <is>
          <t>Δ召回率</t>
        </is>
      </c>
      <c r="K1" s="1" t="inlineStr">
        <is>
          <t>Δ精准率</t>
        </is>
      </c>
      <c r="L1" s="1" t="inlineStr">
        <is>
          <t>ΔMRR</t>
        </is>
      </c>
      <c r="M1" s="1" t="inlineStr">
        <is>
          <t>Δ忠实度</t>
        </is>
      </c>
      <c r="N1" s="1" t="inlineStr">
        <is>
          <t>Δ答案相关性</t>
        </is>
      </c>
      <c r="O1" s="1" t="inlineStr">
        <is>
          <t>Δ上下文相关性</t>
        </is>
      </c>
      <c r="P1" s="1" t="inlineStr">
        <is>
          <t>Δ上下文召回</t>
        </is>
      </c>
      <c r="Q1" s="1" t="inlineStr">
        <is>
          <t>judged</t>
        </is>
      </c>
      <c r="R1" s="1" t="inlineStr">
        <is>
          <t>耗时(s)</t>
        </is>
      </c>
    </row>
    <row r="2">
      <c r="A2" s="2" t="inlineStr">
        <is>
          <t>baseline</t>
        </is>
      </c>
      <c r="B2" s="2" t="inlineStr">
        <is>
          <t>基线：系统默认配置（hybrid+BM25、无rerank、top_k=5、512/64 window）</t>
        </is>
      </c>
      <c r="C2" s="3" t="n">
        <v>1</v>
      </c>
      <c r="D2" s="4" t="n">
        <v>0.26</v>
      </c>
      <c r="E2" s="5" t="n">
        <v>0.9417</v>
      </c>
      <c r="F2" s="4" t="n">
        <v>0.9731</v>
      </c>
      <c r="G2" s="4" t="n">
        <v>0.958</v>
      </c>
      <c r="H2" s="4" t="n">
        <v>0.26</v>
      </c>
      <c r="I2" s="3" t="n">
        <v>0.995</v>
      </c>
      <c r="J2" s="6" t="inlineStr">
        <is>
          <t>—</t>
        </is>
      </c>
      <c r="K2" s="6" t="inlineStr">
        <is>
          <t>—</t>
        </is>
      </c>
      <c r="L2" s="7" t="inlineStr">
        <is>
          <t>—</t>
        </is>
      </c>
      <c r="M2" s="6" t="inlineStr">
        <is>
          <t>—</t>
        </is>
      </c>
      <c r="N2" s="6" t="inlineStr">
        <is>
          <t>—</t>
        </is>
      </c>
      <c r="O2" s="6" t="inlineStr">
        <is>
          <t>—</t>
        </is>
      </c>
      <c r="P2" s="6" t="inlineStr">
        <is>
          <t>—</t>
        </is>
      </c>
      <c r="R2" t="n">
        <v>50</v>
      </c>
      <c r="S2" t="n">
        <v>110.5</v>
      </c>
    </row>
    <row r="3">
      <c r="A3" s="2" t="inlineStr">
        <is>
          <t>iter01-topk10</t>
        </is>
      </c>
      <c r="B3" s="2" t="inlineStr">
        <is>
          <t>检索参数：top_k 5→10</t>
        </is>
      </c>
      <c r="C3" s="4" t="n">
        <v>1</v>
      </c>
      <c r="D3" s="4" t="n">
        <v>0.13</v>
      </c>
      <c r="E3" s="5" t="n">
        <v>0.945</v>
      </c>
      <c r="F3" s="4" t="n">
        <v>0.9647</v>
      </c>
      <c r="G3" s="4" t="n">
        <v>0.958</v>
      </c>
      <c r="H3" s="4" t="n">
        <v>0.264</v>
      </c>
      <c r="I3" s="4" t="n">
        <v>0.995</v>
      </c>
      <c r="J3" s="6">
        <f>IF(ISNUMBER(C3),C3-C$2,"—")</f>
        <v/>
      </c>
      <c r="K3" s="6">
        <f>IF(ISNUMBER(D3),D3-D$2,"—")</f>
        <v/>
      </c>
      <c r="L3" s="7">
        <f>IF(ISNUMBER(E3),E3-E$2,"—")</f>
        <v/>
      </c>
      <c r="M3" s="6">
        <f>IF(ISNUMBER(F3),F3-F$2,"—")</f>
        <v/>
      </c>
      <c r="N3" s="6">
        <f>IF(ISNUMBER(G3),G3-G$2,"—")</f>
        <v/>
      </c>
      <c r="O3" s="6">
        <f>IF(ISNUMBER(H3),H3-H$2,"—")</f>
        <v/>
      </c>
      <c r="P3" s="6">
        <f>IF(ISNUMBER(I3),I3-I$2,"—")</f>
        <v/>
      </c>
      <c r="R3" t="n">
        <v>50</v>
      </c>
      <c r="S3" t="n">
        <v>174.8</v>
      </c>
    </row>
    <row r="4">
      <c r="A4" s="2" t="inlineStr">
        <is>
          <t>iter02-nohybrid</t>
        </is>
      </c>
      <c r="B4" s="2" t="inlineStr">
        <is>
          <t>检索参数：关闭混合检索（消融，仅向量）</t>
        </is>
      </c>
      <c r="C4" s="4" t="n">
        <v>0.96</v>
      </c>
      <c r="D4" s="4" t="n">
        <v>0.248</v>
      </c>
      <c r="E4" s="5" t="n">
        <v>0.8517</v>
      </c>
      <c r="F4" s="4" t="n">
        <v>0.9678</v>
      </c>
      <c r="G4" s="4" t="n">
        <v>0.926</v>
      </c>
      <c r="H4" s="4" t="n">
        <v>0.256</v>
      </c>
      <c r="I4" s="4" t="n">
        <v>0.9483</v>
      </c>
      <c r="J4" s="6">
        <f>IF(ISNUMBER(C4),C4-C$2,"—")</f>
        <v/>
      </c>
      <c r="K4" s="6">
        <f>IF(ISNUMBER(D4),D4-D$2,"—")</f>
        <v/>
      </c>
      <c r="L4" s="7">
        <f>IF(ISNUMBER(E4),E4-E$2,"—")</f>
        <v/>
      </c>
      <c r="M4" s="6">
        <f>IF(ISNUMBER(F4),F4-F$2,"—")</f>
        <v/>
      </c>
      <c r="N4" s="6">
        <f>IF(ISNUMBER(G4),G4-G$2,"—")</f>
        <v/>
      </c>
      <c r="O4" s="6">
        <f>IF(ISNUMBER(H4),H4-H$2,"—")</f>
        <v/>
      </c>
      <c r="P4" s="6">
        <f>IF(ISNUMBER(I4),I4-I$2,"—")</f>
        <v/>
      </c>
      <c r="R4" t="n">
        <v>50</v>
      </c>
      <c r="S4" t="n">
        <v>180.6</v>
      </c>
    </row>
    <row r="5">
      <c r="A5" s="2" t="inlineStr">
        <is>
          <t>iter03-rerank</t>
        </is>
      </c>
      <c r="B5" s="2" t="inlineStr">
        <is>
          <t>检索参数：开启 rerank（候选池 top_k×4）</t>
        </is>
      </c>
      <c r="C5" s="4" t="n">
        <v>1</v>
      </c>
      <c r="D5" s="4" t="n">
        <v>0.256</v>
      </c>
      <c r="E5" s="5" t="n">
        <v>0.945</v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6">
        <f>IF(ISNUMBER(C5),C5-C$2,"—")</f>
        <v/>
      </c>
      <c r="K5" s="6">
        <f>IF(ISNUMBER(D5),D5-D$2,"—")</f>
        <v/>
      </c>
      <c r="L5" s="7">
        <f>IF(ISNUMBER(E5),E5-E$2,"—")</f>
        <v/>
      </c>
      <c r="M5" s="6">
        <f>IF(ISNUMBER(F5),F5-F$2,"—")</f>
        <v/>
      </c>
      <c r="N5" s="6">
        <f>IF(ISNUMBER(G5),G5-G$2,"—")</f>
        <v/>
      </c>
      <c r="O5" s="6">
        <f>IF(ISNUMBER(H5),H5-H$2,"—")</f>
        <v/>
      </c>
      <c r="P5" s="6">
        <f>IF(ISNUMBER(I5),I5-I$2,"—")</f>
        <v/>
      </c>
      <c r="R5" t="n">
        <v>0</v>
      </c>
      <c r="S5" t="n">
        <v>372.5</v>
      </c>
    </row>
    <row r="6">
      <c r="A6" s="2" t="inlineStr">
        <is>
          <t>iter04-rrf-k30</t>
        </is>
      </c>
      <c r="B6" s="2" t="inlineStr">
        <is>
          <t>检索参数：RRF k 60→30（monkey-patch）</t>
        </is>
      </c>
      <c r="C6" s="4" t="n">
        <v>1</v>
      </c>
      <c r="D6" s="4" t="n">
        <v>0.26</v>
      </c>
      <c r="E6" s="5" t="n">
        <v>0.9417</v>
      </c>
      <c r="F6" s="4" t="n">
        <v>0.9792</v>
      </c>
      <c r="G6" s="3" t="n">
        <v>0.976</v>
      </c>
      <c r="H6" s="4" t="n">
        <v>0.272</v>
      </c>
      <c r="I6" s="4" t="n">
        <v>0.995</v>
      </c>
      <c r="J6" s="6">
        <f>IF(ISNUMBER(C6),C6-C$2,"—")</f>
        <v/>
      </c>
      <c r="K6" s="6">
        <f>IF(ISNUMBER(D6),D6-D$2,"—")</f>
        <v/>
      </c>
      <c r="L6" s="7">
        <f>IF(ISNUMBER(E6),E6-E$2,"—")</f>
        <v/>
      </c>
      <c r="M6" s="6">
        <f>IF(ISNUMBER(F6),F6-F$2,"—")</f>
        <v/>
      </c>
      <c r="N6" s="6">
        <f>IF(ISNUMBER(G6),G6-G$2,"—")</f>
        <v/>
      </c>
      <c r="O6" s="6">
        <f>IF(ISNUMBER(H6),H6-H$2,"—")</f>
        <v/>
      </c>
      <c r="P6" s="6">
        <f>IF(ISNUMBER(I6),I6-I$2,"—")</f>
        <v/>
      </c>
      <c r="R6" t="n">
        <v>50</v>
      </c>
      <c r="S6" t="n">
        <v>171</v>
      </c>
    </row>
    <row r="7">
      <c r="A7" s="2" t="inlineStr">
        <is>
          <t>iter05-chunk256</t>
        </is>
      </c>
      <c r="B7" s="2" t="inlineStr">
        <is>
          <t>切分参数：chunk_size 512→256</t>
        </is>
      </c>
      <c r="C7" s="4" t="n">
        <v>1</v>
      </c>
      <c r="D7" s="4" t="n">
        <v>0.32</v>
      </c>
      <c r="E7" s="5" t="n">
        <v>0.93</v>
      </c>
      <c r="F7" s="4" t="n">
        <v>0.9688</v>
      </c>
      <c r="G7" s="4" t="n">
        <v>0.958</v>
      </c>
      <c r="H7" s="4" t="n">
        <v>0.344</v>
      </c>
      <c r="I7" s="4" t="n">
        <v>0.995</v>
      </c>
      <c r="J7" s="6">
        <f>IF(ISNUMBER(C7),C7-C$2,"—")</f>
        <v/>
      </c>
      <c r="K7" s="6">
        <f>IF(ISNUMBER(D7),D7-D$2,"—")</f>
        <v/>
      </c>
      <c r="L7" s="7">
        <f>IF(ISNUMBER(E7),E7-E$2,"—")</f>
        <v/>
      </c>
      <c r="M7" s="6">
        <f>IF(ISNUMBER(F7),F7-F$2,"—")</f>
        <v/>
      </c>
      <c r="N7" s="6">
        <f>IF(ISNUMBER(G7),G7-G$2,"—")</f>
        <v/>
      </c>
      <c r="O7" s="6">
        <f>IF(ISNUMBER(H7),H7-H$2,"—")</f>
        <v/>
      </c>
      <c r="P7" s="6">
        <f>IF(ISNUMBER(I7),I7-I$2,"—")</f>
        <v/>
      </c>
      <c r="R7" t="n">
        <v>50</v>
      </c>
      <c r="S7" t="n">
        <v>168.3</v>
      </c>
    </row>
    <row r="8">
      <c r="A8" s="2" t="inlineStr">
        <is>
          <t>iter06-chunk1024</t>
        </is>
      </c>
      <c r="B8" s="2" t="inlineStr">
        <is>
          <t>切分参数：chunk_size 512→1024</t>
        </is>
      </c>
      <c r="C8" s="4" t="n">
        <v>1</v>
      </c>
      <c r="D8" s="4" t="n">
        <v>0.22</v>
      </c>
      <c r="E8" s="8" t="n">
        <v>0.97</v>
      </c>
      <c r="F8" s="4" t="n">
        <v>0.9782999999999999</v>
      </c>
      <c r="G8" s="4" t="n">
        <v>0.952</v>
      </c>
      <c r="H8" s="4" t="n">
        <v>0.212</v>
      </c>
      <c r="I8" s="4" t="n">
        <v>0.995</v>
      </c>
      <c r="J8" s="6">
        <f>IF(ISNUMBER(C8),C8-C$2,"—")</f>
        <v/>
      </c>
      <c r="K8" s="6">
        <f>IF(ISNUMBER(D8),D8-D$2,"—")</f>
        <v/>
      </c>
      <c r="L8" s="7">
        <f>IF(ISNUMBER(E8),E8-E$2,"—")</f>
        <v/>
      </c>
      <c r="M8" s="6">
        <f>IF(ISNUMBER(F8),F8-F$2,"—")</f>
        <v/>
      </c>
      <c r="N8" s="6">
        <f>IF(ISNUMBER(G8),G8-G$2,"—")</f>
        <v/>
      </c>
      <c r="O8" s="6">
        <f>IF(ISNUMBER(H8),H8-H$2,"—")</f>
        <v/>
      </c>
      <c r="P8" s="6">
        <f>IF(ISNUMBER(I8),I8-I$2,"—")</f>
        <v/>
      </c>
      <c r="R8" t="n">
        <v>50</v>
      </c>
      <c r="S8" t="n">
        <v>171.3</v>
      </c>
    </row>
    <row r="9">
      <c r="A9" s="2" t="inlineStr">
        <is>
          <t>iter07-overlap128</t>
        </is>
      </c>
      <c r="B9" s="2" t="inlineStr">
        <is>
          <t>切分参数：overlap 64→128</t>
        </is>
      </c>
      <c r="C9" s="4" t="n">
        <v>1</v>
      </c>
      <c r="D9" s="4" t="n">
        <v>0.3</v>
      </c>
      <c r="E9" s="5" t="n">
        <v>0.955</v>
      </c>
      <c r="F9" s="4" t="n">
        <v>0.9752999999999999</v>
      </c>
      <c r="G9" s="4" t="n">
        <v>0.976</v>
      </c>
      <c r="H9" s="4" t="n">
        <v>0.312</v>
      </c>
      <c r="I9" s="4" t="n">
        <v>0.995</v>
      </c>
      <c r="J9" s="6">
        <f>IF(ISNUMBER(C9),C9-C$2,"—")</f>
        <v/>
      </c>
      <c r="K9" s="6">
        <f>IF(ISNUMBER(D9),D9-D$2,"—")</f>
        <v/>
      </c>
      <c r="L9" s="7">
        <f>IF(ISNUMBER(E9),E9-E$2,"—")</f>
        <v/>
      </c>
      <c r="M9" s="6">
        <f>IF(ISNUMBER(F9),F9-F$2,"—")</f>
        <v/>
      </c>
      <c r="N9" s="6">
        <f>IF(ISNUMBER(G9),G9-G$2,"—")</f>
        <v/>
      </c>
      <c r="O9" s="6">
        <f>IF(ISNUMBER(H9),H9-H$2,"—")</f>
        <v/>
      </c>
      <c r="P9" s="6">
        <f>IF(ISNUMBER(I9),I9-I$2,"—")</f>
        <v/>
      </c>
      <c r="R9" t="n">
        <v>50</v>
      </c>
      <c r="S9" t="n">
        <v>170.6</v>
      </c>
    </row>
    <row r="10">
      <c r="A10" s="2" t="inlineStr">
        <is>
          <t>iter08-semantic</t>
        </is>
      </c>
      <c r="B10" s="2" t="inlineStr">
        <is>
          <t>切分策略：window→semantic 父子块</t>
        </is>
      </c>
      <c r="C10" s="4" t="n">
        <v>1</v>
      </c>
      <c r="D10" s="4" t="n">
        <v>0.24</v>
      </c>
      <c r="E10" s="5" t="n">
        <v>0.9667</v>
      </c>
      <c r="F10" s="3" t="n">
        <v>0.9882</v>
      </c>
      <c r="G10" s="4" t="n">
        <v>0.946</v>
      </c>
      <c r="H10" s="4" t="n">
        <v>0.248</v>
      </c>
      <c r="I10" s="4" t="n">
        <v>0.985</v>
      </c>
      <c r="J10" s="6">
        <f>IF(ISNUMBER(C10),C10-C$2,"—")</f>
        <v/>
      </c>
      <c r="K10" s="6">
        <f>IF(ISNUMBER(D10),D10-D$2,"—")</f>
        <v/>
      </c>
      <c r="L10" s="7">
        <f>IF(ISNUMBER(E10),E10-E$2,"—")</f>
        <v/>
      </c>
      <c r="M10" s="6">
        <f>IF(ISNUMBER(F10),F10-F$2,"—")</f>
        <v/>
      </c>
      <c r="N10" s="6">
        <f>IF(ISNUMBER(G10),G10-G$2,"—")</f>
        <v/>
      </c>
      <c r="O10" s="6">
        <f>IF(ISNUMBER(H10),H10-H$2,"—")</f>
        <v/>
      </c>
      <c r="P10" s="6">
        <f>IF(ISNUMBER(I10),I10-I$2,"—")</f>
        <v/>
      </c>
      <c r="R10" t="n">
        <v>50</v>
      </c>
      <c r="S10" t="n">
        <v>168</v>
      </c>
    </row>
    <row r="11">
      <c r="A11" s="2" t="inlineStr">
        <is>
          <t>iter09-auto-topk</t>
        </is>
      </c>
      <c r="B11" s="2" t="inlineStr">
        <is>
          <t>查询处理：固定 top_k → L2 启发式 auto_top_k</t>
        </is>
      </c>
      <c r="C11" s="4" t="n">
        <v>1</v>
      </c>
      <c r="D11" s="4" t="n">
        <v>0.272</v>
      </c>
      <c r="E11" s="5" t="n">
        <v>0.9417</v>
      </c>
      <c r="F11" s="4" t="n">
        <v>0.9757</v>
      </c>
      <c r="G11" s="4" t="n">
        <v>0.97</v>
      </c>
      <c r="H11" s="4" t="n">
        <v>0.2987</v>
      </c>
      <c r="I11" s="4" t="n">
        <v>0.995</v>
      </c>
      <c r="J11" s="6">
        <f>IF(ISNUMBER(C11),C11-C$2,"—")</f>
        <v/>
      </c>
      <c r="K11" s="6">
        <f>IF(ISNUMBER(D11),D11-D$2,"—")</f>
        <v/>
      </c>
      <c r="L11" s="7">
        <f>IF(ISNUMBER(E11),E11-E$2,"—")</f>
        <v/>
      </c>
      <c r="M11" s="6">
        <f>IF(ISNUMBER(F11),F11-F$2,"—")</f>
        <v/>
      </c>
      <c r="N11" s="6">
        <f>IF(ISNUMBER(G11),G11-G$2,"—")</f>
        <v/>
      </c>
      <c r="O11" s="6">
        <f>IF(ISNUMBER(H11),H11-H$2,"—")</f>
        <v/>
      </c>
      <c r="P11" s="6">
        <f>IF(ISNUMBER(I11),I11-I$2,"—")</f>
        <v/>
      </c>
      <c r="R11" t="n">
        <v>50</v>
      </c>
      <c r="S11" t="n">
        <v>176.3</v>
      </c>
    </row>
    <row r="12">
      <c r="A12" s="2" t="inlineStr">
        <is>
          <t>iter10-router</t>
        </is>
      </c>
      <c r="B12" s="2" t="inlineStr">
        <is>
          <t>查询处理：固定 top_k → L4 LLM Router（需 API key）</t>
        </is>
      </c>
      <c r="C12" s="4" t="n">
        <v>1</v>
      </c>
      <c r="D12" s="3" t="n">
        <v>0.3555</v>
      </c>
      <c r="E12" s="5" t="n">
        <v>0.91</v>
      </c>
      <c r="F12" s="4" t="n">
        <v>0.9871</v>
      </c>
      <c r="G12" s="4" t="n">
        <v>0.958</v>
      </c>
      <c r="H12" s="4" t="n">
        <v>0.3746</v>
      </c>
      <c r="I12" s="4" t="n">
        <v>0.995</v>
      </c>
      <c r="J12" s="6">
        <f>IF(ISNUMBER(C12),C12-C$2,"—")</f>
        <v/>
      </c>
      <c r="K12" s="6">
        <f>IF(ISNUMBER(D12),D12-D$2,"—")</f>
        <v/>
      </c>
      <c r="L12" s="7">
        <f>IF(ISNUMBER(E12),E12-E$2,"—")</f>
        <v/>
      </c>
      <c r="M12" s="6">
        <f>IF(ISNUMBER(F12),F12-F$2,"—")</f>
        <v/>
      </c>
      <c r="N12" s="6">
        <f>IF(ISNUMBER(G12),G12-G$2,"—")</f>
        <v/>
      </c>
      <c r="O12" s="6">
        <f>IF(ISNUMBER(H12),H12-H$2,"—")</f>
        <v/>
      </c>
      <c r="P12" s="6">
        <f>IF(ISNUMBER(I12),I12-I$2,"—")</f>
        <v/>
      </c>
      <c r="R12" t="n">
        <v>50</v>
      </c>
      <c r="S12" t="n">
        <v>216.3</v>
      </c>
    </row>
    <row r="13">
      <c r="A13" s="2" t="inlineStr">
        <is>
          <t>iter11-context3</t>
        </is>
      </c>
      <c r="B13" s="2" t="inlineStr">
        <is>
          <t>生成参数：注入上下文块数 5→3</t>
        </is>
      </c>
      <c r="C13" s="4" t="n">
        <v>1</v>
      </c>
      <c r="D13" s="4" t="n">
        <v>0.26</v>
      </c>
      <c r="E13" s="5" t="n">
        <v>0.9417</v>
      </c>
      <c r="F13" s="4" t="n">
        <v>0.9842</v>
      </c>
      <c r="G13" s="4" t="n">
        <v>0.9320000000000001</v>
      </c>
      <c r="H13" s="3" t="n">
        <v>0.4</v>
      </c>
      <c r="I13" s="4" t="n">
        <v>0.9683</v>
      </c>
      <c r="J13" s="6">
        <f>IF(ISNUMBER(C13),C13-C$2,"—")</f>
        <v/>
      </c>
      <c r="K13" s="6">
        <f>IF(ISNUMBER(D13),D13-D$2,"—")</f>
        <v/>
      </c>
      <c r="L13" s="7">
        <f>IF(ISNUMBER(E13),E13-E$2,"—")</f>
        <v/>
      </c>
      <c r="M13" s="6">
        <f>IF(ISNUMBER(F13),F13-F$2,"—")</f>
        <v/>
      </c>
      <c r="N13" s="6">
        <f>IF(ISNUMBER(G13),G13-G$2,"—")</f>
        <v/>
      </c>
      <c r="O13" s="6">
        <f>IF(ISNUMBER(H13),H13-H$2,"—")</f>
        <v/>
      </c>
      <c r="P13" s="6">
        <f>IF(ISNUMBER(I13),I13-I$2,"—")</f>
        <v/>
      </c>
      <c r="R13" t="n">
        <v>50</v>
      </c>
      <c r="S13" t="n">
        <v>167.2</v>
      </c>
    </row>
    <row r="14">
      <c r="A14" s="2" t="inlineStr">
        <is>
          <t>iter12-prompt-concise</t>
        </is>
      </c>
      <c r="B14" s="2" t="inlineStr">
        <is>
          <t>生成参数：prompt 默认→简洁变体（120字约束）</t>
        </is>
      </c>
      <c r="C14" s="4" t="n">
        <v>1</v>
      </c>
      <c r="D14" s="4" t="n">
        <v>0.26</v>
      </c>
      <c r="E14" s="5" t="n">
        <v>0.9417</v>
      </c>
      <c r="F14" s="4" t="n">
        <v>0.981</v>
      </c>
      <c r="G14" s="4" t="n">
        <v>0.952</v>
      </c>
      <c r="H14" s="4" t="n">
        <v>0.248</v>
      </c>
      <c r="I14" s="4" t="n">
        <v>0.995</v>
      </c>
      <c r="J14" s="6">
        <f>IF(ISNUMBER(C14),C14-C$2,"—")</f>
        <v/>
      </c>
      <c r="K14" s="6">
        <f>IF(ISNUMBER(D14),D14-D$2,"—")</f>
        <v/>
      </c>
      <c r="L14" s="7">
        <f>IF(ISNUMBER(E14),E14-E$2,"—")</f>
        <v/>
      </c>
      <c r="M14" s="6">
        <f>IF(ISNUMBER(F14),F14-F$2,"—")</f>
        <v/>
      </c>
      <c r="N14" s="6">
        <f>IF(ISNUMBER(G14),G14-G$2,"—")</f>
        <v/>
      </c>
      <c r="O14" s="6">
        <f>IF(ISNUMBER(H14),H14-H$2,"—")</f>
        <v/>
      </c>
      <c r="P14" s="6">
        <f>IF(ISNUMBER(I14),I14-I$2,"—")</f>
        <v/>
      </c>
      <c r="R14" t="n">
        <v>50</v>
      </c>
      <c r="S14" t="n">
        <v>154.6</v>
      </c>
    </row>
    <row r="15">
      <c r="A15" s="2" t="inlineStr">
        <is>
          <t>iter13-router-f4</t>
        </is>
      </c>
      <c r="B15" s="2" t="inlineStr">
        <is>
          <t>自定义：['top_k_mode=router', 'router_factual=4']</t>
        </is>
      </c>
      <c r="C15" s="4" t="n">
        <v>1</v>
      </c>
      <c r="D15" s="4" t="n">
        <v>0.2755</v>
      </c>
      <c r="E15" s="5" t="n">
        <v>0.9417</v>
      </c>
      <c r="F15" s="4" t="n">
        <v>0.9745</v>
      </c>
      <c r="G15" s="4" t="n">
        <v>0.958</v>
      </c>
      <c r="H15" s="4" t="n">
        <v>0.292</v>
      </c>
      <c r="I15" s="4" t="n">
        <v>0.995</v>
      </c>
      <c r="J15" s="6">
        <f>IF(ISNUMBER(C15),C15-C$2,"—")</f>
        <v/>
      </c>
      <c r="K15" s="6">
        <f>IF(ISNUMBER(D15),D15-D$2,"—")</f>
        <v/>
      </c>
      <c r="L15" s="7">
        <f>IF(ISNUMBER(E15),E15-E$2,"—")</f>
        <v/>
      </c>
      <c r="M15" s="6">
        <f>IF(ISNUMBER(F15),F15-F$2,"—")</f>
        <v/>
      </c>
      <c r="N15" s="6">
        <f>IF(ISNUMBER(G15),G15-G$2,"—")</f>
        <v/>
      </c>
      <c r="O15" s="6">
        <f>IF(ISNUMBER(H15),H15-H$2,"—")</f>
        <v/>
      </c>
      <c r="P15" s="6">
        <f>IF(ISNUMBER(I15),I15-I$2,"—")</f>
        <v/>
      </c>
      <c r="R15" t="n">
        <v>50</v>
      </c>
      <c r="S15" t="n">
        <v>209.8</v>
      </c>
    </row>
    <row r="16">
      <c r="A16" s="2" t="inlineStr">
        <is>
          <t>iter14-router-f5</t>
        </is>
      </c>
      <c r="B16" s="2" t="inlineStr">
        <is>
          <t>自定义：['top_k_mode=router', 'router_factual=5']</t>
        </is>
      </c>
      <c r="C16" s="4" t="n">
        <v>1</v>
      </c>
      <c r="D16" s="4" t="n">
        <v>0.2275</v>
      </c>
      <c r="E16" s="5" t="n">
        <v>0.9417</v>
      </c>
      <c r="F16" s="4" t="n">
        <v>0.9791</v>
      </c>
      <c r="G16" s="4" t="n">
        <v>0.976</v>
      </c>
      <c r="H16" s="4" t="n">
        <v>0.26</v>
      </c>
      <c r="I16" s="4" t="n">
        <v>0.995</v>
      </c>
      <c r="J16" s="6">
        <f>IF(ISNUMBER(C16),C16-C$2,"—")</f>
        <v/>
      </c>
      <c r="K16" s="6">
        <f>IF(ISNUMBER(D16),D16-D$2,"—")</f>
        <v/>
      </c>
      <c r="L16" s="7">
        <f>IF(ISNUMBER(E16),E16-E$2,"—")</f>
        <v/>
      </c>
      <c r="M16" s="6">
        <f>IF(ISNUMBER(F16),F16-F$2,"—")</f>
        <v/>
      </c>
      <c r="N16" s="6">
        <f>IF(ISNUMBER(G16),G16-G$2,"—")</f>
        <v/>
      </c>
      <c r="O16" s="6">
        <f>IF(ISNUMBER(H16),H16-H$2,"—")</f>
        <v/>
      </c>
      <c r="P16" s="6">
        <f>IF(ISNUMBER(I16),I16-I$2,"—")</f>
        <v/>
      </c>
      <c r="R16" t="n">
        <v>50</v>
      </c>
      <c r="S16" t="n">
        <v>206.7</v>
      </c>
    </row>
    <row r="17">
      <c r="A17" s="2" t="inlineStr">
        <is>
          <t>best-combo</t>
        </is>
      </c>
      <c r="B17" s="2" t="inlineStr">
        <is>
          <t>自定义：['chunk_overlap=128', 'top_k_mode=auto']</t>
        </is>
      </c>
      <c r="C17" s="4" t="n">
        <v>1</v>
      </c>
      <c r="D17" s="4" t="n">
        <v>0.3153</v>
      </c>
      <c r="E17" s="5" t="n">
        <v>0.955</v>
      </c>
      <c r="F17" s="4" t="n">
        <v>0.9787</v>
      </c>
      <c r="G17" s="4" t="n">
        <v>0.97</v>
      </c>
      <c r="H17" s="4" t="n">
        <v>0.3293</v>
      </c>
      <c r="I17" s="4" t="n">
        <v>0.995</v>
      </c>
      <c r="J17" s="6">
        <f>IF(ISNUMBER(C17),C17-C$2,"—")</f>
        <v/>
      </c>
      <c r="K17" s="6">
        <f>IF(ISNUMBER(D17),D17-D$2,"—")</f>
        <v/>
      </c>
      <c r="L17" s="7">
        <f>IF(ISNUMBER(E17),E17-E$2,"—")</f>
        <v/>
      </c>
      <c r="M17" s="6">
        <f>IF(ISNUMBER(F17),F17-F$2,"—")</f>
        <v/>
      </c>
      <c r="N17" s="6">
        <f>IF(ISNUMBER(G17),G17-G$2,"—")</f>
        <v/>
      </c>
      <c r="O17" s="6">
        <f>IF(ISNUMBER(H17),H17-H$2,"—")</f>
        <v/>
      </c>
      <c r="P17" s="6">
        <f>IF(ISNUMBER(I17),I17-I$2,"—")</f>
        <v/>
      </c>
      <c r="R17" t="n">
        <v>50</v>
      </c>
      <c r="S17" t="n">
        <v>167.5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9" t="inlineStr">
        <is>
          <t>数据源</t>
        </is>
      </c>
      <c r="B1" s="2" t="inlineStr">
        <is>
          <t>backend/eval/results/&lt;tag&gt;/summary.json（评估集 questions_v2.jsonl，50 题）</t>
        </is>
      </c>
    </row>
    <row r="2">
      <c r="A2" s="9" t="inlineStr">
        <is>
          <t>评估日期</t>
        </is>
      </c>
      <c r="B2" s="2" t="inlineStr">
        <is>
          <t>2026-10-12 16:20:30</t>
        </is>
      </c>
    </row>
    <row r="3">
      <c r="A3" s="9" t="inlineStr">
        <is>
          <t>基线定义</t>
        </is>
      </c>
      <c r="B3" s="2" t="inlineStr">
        <is>
          <t>系统默认配置：hybrid+BM25、无 rerank、top_k=5 固定、chunk 512/64 window</t>
        </is>
      </c>
    </row>
    <row r="4">
      <c r="A4" s="9" t="inlineStr">
        <is>
          <t>iter03 说明</t>
        </is>
      </c>
      <c r="B4" s="2" t="inlineStr">
        <is>
          <t>reranker（BAAI/bge-reranker-base 1.06GB ONNX）本机加载失败（bad allocation），按系统设计降级为粗排，该轮仅检索层数据，不代表 rerank 真实效果</t>
        </is>
      </c>
    </row>
    <row r="5">
      <c r="A5" s="9" t="inlineStr">
        <is>
          <t>judge 校准</t>
        </is>
      </c>
      <c r="B5" s="2" t="inlineStr">
        <is>
          <t>见 docs/evidence/rag-v2-judge校准记录.md（答案相关性 prompt 已按校准修订）</t>
        </is>
      </c>
    </row>
    <row r="6">
      <c r="A6" s="9" t="inlineStr">
        <is>
          <t>忠实度已知行为</t>
        </is>
      </c>
      <c r="B6" s="2" t="inlineStr">
        <is>
          <t>从严取向：逻辑蕴含但未明确陈述的论断可能判不支持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2026-10-12T09:45:19Z</dcterms:created>
  <dcterms:modified xmlns:dcterms="http://purl.org/dc/terms/" xmlns:xsi="http://www.w3.org/2001/XMLSchema-instance" xsi:type="dcterms:W3CDTF">2026-10-12T09:45:19Z</dcterms:modified>
</cp:coreProperties>
</file>